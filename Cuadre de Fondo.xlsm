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enda\Documents\GESTION 2026\"/>
    </mc:Choice>
  </mc:AlternateContent>
  <xr:revisionPtr revIDLastSave="0" documentId="13_ncr:1_{677FEA40-002E-4D3E-9F85-9DD7CF1419E7}" xr6:coauthVersionLast="47" xr6:coauthVersionMax="47" xr10:uidLastSave="{00000000-0000-0000-0000-000000000000}"/>
  <bookViews>
    <workbookView xWindow="-120" yWindow="-120" windowWidth="24240" windowHeight="13140" tabRatio="579" firstSheet="2" activeTab="3" xr2:uid="{6EE3F959-652D-4694-9BF3-E9F64AAF0C96}"/>
  </bookViews>
  <sheets>
    <sheet name="Gráfico1" sheetId="11" r:id="rId1"/>
    <sheet name="Hoja1" sheetId="15" r:id="rId2"/>
    <sheet name="Gráfico2" sheetId="16" r:id="rId3"/>
    <sheet name="CUADRE DE CAJA" sheetId="1" r:id="rId4"/>
    <sheet name="Hoja2" sheetId="14" r:id="rId5"/>
  </sheets>
  <definedNames>
    <definedName name="__xleta.AND" hidden="1" xlm="1">#NAME?</definedName>
    <definedName name="__xleta.SUM" hidden="1" xlm="1">#NAME?</definedName>
    <definedName name="_xlnm.Print_Area" localSheetId="3">'CUADRE DE CAJA'!$F$4:$G$10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" l="1"/>
  <c r="C18" i="1" s="1"/>
  <c r="C20" i="1" l="1"/>
  <c r="C21" i="1" s="1"/>
</calcChain>
</file>

<file path=xl/sharedStrings.xml><?xml version="1.0" encoding="utf-8"?>
<sst xmlns="http://schemas.openxmlformats.org/spreadsheetml/2006/main" count="131" uniqueCount="97">
  <si>
    <t>Vales/Fact.</t>
  </si>
  <si>
    <t>Real</t>
  </si>
  <si>
    <t>Total</t>
  </si>
  <si>
    <t>Diferencia</t>
  </si>
  <si>
    <t xml:space="preserve"> </t>
  </si>
  <si>
    <t>……………………………………………………………………………………………………………………………………………………………………………………………………………………………………0.0</t>
  </si>
  <si>
    <t>…………………………………………………………………………………………..</t>
  </si>
  <si>
    <t>TOTAL</t>
  </si>
  <si>
    <t>.</t>
  </si>
  <si>
    <t>..</t>
  </si>
  <si>
    <t>…..</t>
  </si>
  <si>
    <t>tills</t>
  </si>
  <si>
    <t>,.</t>
  </si>
  <si>
    <t>…......................................................................................................................................</t>
  </si>
  <si>
    <t>….......</t>
  </si>
  <si>
    <t>.00…....</t>
  </si>
  <si>
    <t>…...........</t>
  </si>
  <si>
    <t>CECO</t>
  </si>
  <si>
    <t>TIENDA</t>
  </si>
  <si>
    <t>1A FRECUENCIA</t>
  </si>
  <si>
    <t>2A FRECUENCIA</t>
  </si>
  <si>
    <t>3A FRECUENCIA</t>
  </si>
  <si>
    <t>BELISARIO DOMINGUEZ</t>
  </si>
  <si>
    <t>TUXTLA II DT</t>
  </si>
  <si>
    <t>PABELLON TUXTLA</t>
  </si>
  <si>
    <t>SAN CRISTOBAL</t>
  </si>
  <si>
    <t>TAPACHULA DT</t>
  </si>
  <si>
    <t>PATIO TAPACHULA</t>
  </si>
  <si>
    <t>COMITAN DT</t>
  </si>
  <si>
    <t>BELISARIO DT</t>
  </si>
  <si>
    <t>SE REALIZA</t>
  </si>
  <si>
    <t>SE RECIBE</t>
  </si>
  <si>
    <t>PAOLA</t>
  </si>
  <si>
    <t>KARLA</t>
  </si>
  <si>
    <t>JANETH</t>
  </si>
  <si>
    <t>CARLOS</t>
  </si>
  <si>
    <t>FABIOLA</t>
  </si>
  <si>
    <t>ESTHELA</t>
  </si>
  <si>
    <t>DE 5:30 A 1:30</t>
  </si>
  <si>
    <t>DE 5:30 A 1:31</t>
  </si>
  <si>
    <t>DE 6:00 A 2:00</t>
  </si>
  <si>
    <t>DE 8:00 A 4:00</t>
  </si>
  <si>
    <t>DE 8:00 A 4:01</t>
  </si>
  <si>
    <t>DE 8:00 A 4:02</t>
  </si>
  <si>
    <t>Martin1802</t>
  </si>
  <si>
    <t xml:space="preserve">IMPORTE </t>
  </si>
  <si>
    <t>CONCEPTO</t>
  </si>
  <si>
    <t>Belisariodt.2026</t>
  </si>
  <si>
    <t>mercadotecnia.200</t>
  </si>
  <si>
    <t>BELISARIODT.25</t>
  </si>
  <si>
    <t xml:space="preserve">NUMERO DE TICKET </t>
  </si>
  <si>
    <t xml:space="preserve">EQUIPO </t>
  </si>
  <si>
    <t xml:space="preserve">STATUS </t>
  </si>
  <si>
    <t xml:space="preserve">FECHA </t>
  </si>
  <si>
    <t xml:space="preserve">COMENTARIOS </t>
  </si>
  <si>
    <t>06.06.26</t>
  </si>
  <si>
    <t>HORNO NUVU</t>
  </si>
  <si>
    <t>38967-00239</t>
  </si>
  <si>
    <t>CERRADO</t>
  </si>
  <si>
    <t xml:space="preserve">SOLICITUD DE REFACCION MANIJA DEL HORNO </t>
  </si>
  <si>
    <t>14.07.26</t>
  </si>
  <si>
    <t>38967-0258</t>
  </si>
  <si>
    <t xml:space="preserve">LICUADORAS </t>
  </si>
  <si>
    <t>EN CURSO</t>
  </si>
  <si>
    <t xml:space="preserve">TRES MOTORES SIN FUNCIONAR </t>
  </si>
  <si>
    <t>04.07.26</t>
  </si>
  <si>
    <t>38967-00254</t>
  </si>
  <si>
    <t xml:space="preserve">RINSE MASTRENA II </t>
  </si>
  <si>
    <t xml:space="preserve">SOLICITUD DE PIEZA DE RINSE/SIN FUNCIONAR </t>
  </si>
  <si>
    <t>20.06.26</t>
  </si>
  <si>
    <t>38967-00268</t>
  </si>
  <si>
    <t xml:space="preserve">EN CURSO </t>
  </si>
  <si>
    <t xml:space="preserve">SOLICITUD DE CADENA PARA CARRIL DRIVE </t>
  </si>
  <si>
    <t>38967-00269</t>
  </si>
  <si>
    <t xml:space="preserve">CARRIL DRIVE </t>
  </si>
  <si>
    <t xml:space="preserve">SOLICITUD DE PINTURA SEÑALIZACION DRIVE </t>
  </si>
  <si>
    <t>21.07.26</t>
  </si>
  <si>
    <t>38967-00271</t>
  </si>
  <si>
    <t xml:space="preserve">IMPERMEABILIZACION </t>
  </si>
  <si>
    <t xml:space="preserve">FILTRACION DE AGUA EN DIFERENTES PARTES DE TIENDA. </t>
  </si>
  <si>
    <t>ENVIADAS A PABELLON 2DO</t>
  </si>
  <si>
    <t>PIPA DE AGUA 07.08.26</t>
  </si>
  <si>
    <t>PIPA DE AGUA 10.08.26</t>
  </si>
  <si>
    <r>
      <t>PIPA20.08.26</t>
    </r>
    <r>
      <rPr>
        <sz val="10"/>
        <color rgb="FFFF0000"/>
        <rFont val="Arial"/>
        <family val="2"/>
      </rPr>
      <t xml:space="preserve"> </t>
    </r>
  </si>
  <si>
    <t>OSMAR</t>
  </si>
  <si>
    <t>PENDIENTE FACTURA</t>
  </si>
  <si>
    <t>COMPROBACIÓN  KXGPQ6</t>
  </si>
  <si>
    <t>COMPROBACIOÓN KKW4VQ</t>
  </si>
  <si>
    <t>PIPA 17.08.26</t>
  </si>
  <si>
    <t xml:space="preserve">DECORACION MODATELAS </t>
  </si>
  <si>
    <t>Yolanni</t>
  </si>
  <si>
    <t>plumero 14.09.26</t>
  </si>
  <si>
    <t>COMPROBACIÓN  XBDGOH</t>
  </si>
  <si>
    <t>PIPA DE AGUA28. 08.26</t>
  </si>
  <si>
    <t>pipa 15.09.26</t>
  </si>
  <si>
    <t>PIPA DE AGUA 24.08.26</t>
  </si>
  <si>
    <t>PIPA 17.09.26 PTE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</si>
</sst>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&quot;$&quot;#,##0.0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10"/>
      <color theme="8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0"/>
      <color rgb="FFFF0000"/>
      <name val="Arial"/>
      <family val="2"/>
    </font>
    <font>
      <b/>
      <sz val="10"/>
      <color theme="3" tint="-0.249977111117893"/>
      <name val="Arial"/>
      <family val="2"/>
    </font>
    <font>
      <b/>
      <sz val="10"/>
      <color theme="3" tint="-0.499984740745262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3"/>
      <name val="Arial"/>
      <family val="2"/>
    </font>
    <font>
      <sz val="10"/>
      <color theme="1"/>
      <name val="Arial"/>
      <family val="2"/>
    </font>
    <font>
      <sz val="10"/>
      <color theme="1" tint="4.9989318521683403E-2"/>
      <name val="Arial"/>
      <family val="2"/>
    </font>
    <font>
      <b/>
      <sz val="10"/>
      <color theme="1" tint="4.9989318521683403E-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5" fillId="0" borderId="0"/>
  </cellStyleXfs>
  <cellXfs count="104">
    <xf numFmtId="0" fontId="0" fillId="0" borderId="0" xfId="0"/>
    <xf numFmtId="0" fontId="0" fillId="0" borderId="1" xfId="0" applyBorder="1"/>
    <xf numFmtId="0" fontId="0" fillId="0" borderId="0" xfId="0" applyAlignment="1">
      <alignment vertical="center" textRotation="90"/>
    </xf>
    <xf numFmtId="0" fontId="0" fillId="7" borderId="0" xfId="0" applyFill="1"/>
    <xf numFmtId="165" fontId="0" fillId="7" borderId="0" xfId="0" applyNumberFormat="1" applyFill="1"/>
    <xf numFmtId="0" fontId="0" fillId="0" borderId="0" xfId="0" applyAlignment="1">
      <alignment horizontal="center" vertical="center"/>
    </xf>
    <xf numFmtId="164" fontId="0" fillId="0" borderId="0" xfId="2" applyFont="1" applyBorder="1" applyAlignment="1">
      <alignment vertical="center"/>
    </xf>
    <xf numFmtId="0" fontId="5" fillId="0" borderId="0" xfId="0" applyFont="1"/>
    <xf numFmtId="0" fontId="3" fillId="0" borderId="0" xfId="1" applyAlignment="1" applyProtection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5" fillId="0" borderId="0" xfId="0" applyFont="1" applyAlignment="1">
      <alignment vertical="center" textRotation="90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0" fontId="2" fillId="7" borderId="1" xfId="0" applyFont="1" applyFill="1" applyBorder="1"/>
    <xf numFmtId="164" fontId="0" fillId="0" borderId="0" xfId="2" applyFont="1" applyAlignment="1">
      <alignment horizontal="center" vertical="center"/>
    </xf>
    <xf numFmtId="165" fontId="2" fillId="5" borderId="3" xfId="0" applyNumberFormat="1" applyFont="1" applyFill="1" applyBorder="1" applyAlignment="1">
      <alignment horizontal="right"/>
    </xf>
    <xf numFmtId="165" fontId="2" fillId="5" borderId="4" xfId="3" applyNumberFormat="1" applyFont="1" applyFill="1" applyBorder="1" applyAlignment="1" applyProtection="1">
      <alignment horizontal="right"/>
      <protection locked="0"/>
    </xf>
    <xf numFmtId="165" fontId="14" fillId="5" borderId="4" xfId="3" applyNumberFormat="1" applyFont="1" applyFill="1" applyBorder="1" applyAlignment="1" applyProtection="1">
      <alignment horizontal="right"/>
      <protection locked="0"/>
    </xf>
    <xf numFmtId="165" fontId="2" fillId="5" borderId="13" xfId="3" applyNumberFormat="1" applyFont="1" applyFill="1" applyBorder="1" applyAlignment="1" applyProtection="1">
      <alignment horizontal="right"/>
      <protection locked="0"/>
    </xf>
    <xf numFmtId="165" fontId="2" fillId="5" borderId="10" xfId="3" applyNumberFormat="1" applyFont="1" applyFill="1" applyBorder="1" applyAlignment="1" applyProtection="1">
      <alignment horizontal="right"/>
      <protection locked="0"/>
    </xf>
    <xf numFmtId="165" fontId="2" fillId="5" borderId="4" xfId="0" applyNumberFormat="1" applyFont="1" applyFill="1" applyBorder="1"/>
    <xf numFmtId="0" fontId="8" fillId="2" borderId="3" xfId="0" applyFont="1" applyFill="1" applyBorder="1"/>
    <xf numFmtId="165" fontId="8" fillId="2" borderId="4" xfId="0" applyNumberFormat="1" applyFont="1" applyFill="1" applyBorder="1"/>
    <xf numFmtId="0" fontId="9" fillId="3" borderId="3" xfId="0" applyFont="1" applyFill="1" applyBorder="1"/>
    <xf numFmtId="165" fontId="5" fillId="3" borderId="14" xfId="0" applyNumberFormat="1" applyFont="1" applyFill="1" applyBorder="1"/>
    <xf numFmtId="0" fontId="11" fillId="6" borderId="3" xfId="0" applyFont="1" applyFill="1" applyBorder="1"/>
    <xf numFmtId="165" fontId="12" fillId="6" borderId="4" xfId="0" applyNumberFormat="1" applyFont="1" applyFill="1" applyBorder="1"/>
    <xf numFmtId="0" fontId="11" fillId="3" borderId="5" xfId="0" applyFont="1" applyFill="1" applyBorder="1"/>
    <xf numFmtId="165" fontId="10" fillId="4" borderId="7" xfId="0" applyNumberFormat="1" applyFont="1" applyFill="1" applyBorder="1"/>
    <xf numFmtId="0" fontId="2" fillId="7" borderId="0" xfId="0" applyFont="1" applyFill="1"/>
    <xf numFmtId="165" fontId="2" fillId="5" borderId="15" xfId="0" applyNumberFormat="1" applyFont="1" applyFill="1" applyBorder="1" applyAlignment="1">
      <alignment horizontal="right"/>
    </xf>
    <xf numFmtId="165" fontId="2" fillId="5" borderId="13" xfId="2" applyNumberFormat="1" applyFont="1" applyFill="1" applyBorder="1" applyAlignment="1" applyProtection="1">
      <alignment horizontal="right"/>
      <protection locked="0"/>
    </xf>
    <xf numFmtId="44" fontId="19" fillId="0" borderId="5" xfId="2" applyNumberFormat="1" applyFont="1" applyFill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3" fillId="0" borderId="0" xfId="0" applyFont="1"/>
    <xf numFmtId="164" fontId="13" fillId="0" borderId="0" xfId="0" applyNumberFormat="1" applyFont="1"/>
    <xf numFmtId="0" fontId="13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7" fillId="11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165" fontId="14" fillId="5" borderId="4" xfId="3" quotePrefix="1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64" fontId="2" fillId="12" borderId="3" xfId="2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vertical="center"/>
    </xf>
    <xf numFmtId="0" fontId="19" fillId="12" borderId="4" xfId="0" applyFont="1" applyFill="1" applyBorder="1" applyAlignment="1">
      <alignment horizontal="center" vertical="center"/>
    </xf>
    <xf numFmtId="164" fontId="19" fillId="12" borderId="3" xfId="2" applyFont="1" applyFill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164" fontId="18" fillId="13" borderId="3" xfId="2" applyFont="1" applyFill="1" applyBorder="1" applyAlignment="1">
      <alignment horizontal="center" vertical="center"/>
    </xf>
    <xf numFmtId="0" fontId="17" fillId="13" borderId="4" xfId="0" applyFont="1" applyFill="1" applyBorder="1" applyAlignment="1">
      <alignment horizontal="center" vertical="center"/>
    </xf>
    <xf numFmtId="164" fontId="17" fillId="13" borderId="3" xfId="2" applyFont="1" applyFill="1" applyBorder="1" applyAlignment="1">
      <alignment horizontal="center" vertical="center"/>
    </xf>
    <xf numFmtId="0" fontId="0" fillId="15" borderId="0" xfId="0" applyFill="1"/>
    <xf numFmtId="0" fontId="0" fillId="7" borderId="0" xfId="0" applyFill="1" applyAlignment="1">
      <alignment vertical="center" textRotation="90"/>
    </xf>
    <xf numFmtId="164" fontId="18" fillId="7" borderId="3" xfId="2" applyFont="1" applyFill="1" applyBorder="1" applyAlignment="1">
      <alignment horizontal="center" vertical="center"/>
    </xf>
    <xf numFmtId="0" fontId="18" fillId="7" borderId="4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center" vertical="center"/>
    </xf>
    <xf numFmtId="164" fontId="19" fillId="7" borderId="3" xfId="2" applyFont="1" applyFill="1" applyBorder="1" applyAlignment="1">
      <alignment horizontal="center" vertical="center"/>
    </xf>
    <xf numFmtId="164" fontId="15" fillId="10" borderId="16" xfId="2" applyFont="1" applyFill="1" applyBorder="1" applyAlignment="1">
      <alignment horizontal="center" vertical="center"/>
    </xf>
    <xf numFmtId="165" fontId="15" fillId="10" borderId="17" xfId="0" applyNumberFormat="1" applyFont="1" applyFill="1" applyBorder="1" applyAlignment="1">
      <alignment horizontal="center" vertical="center"/>
    </xf>
    <xf numFmtId="164" fontId="2" fillId="16" borderId="1" xfId="2" applyFont="1" applyFill="1" applyBorder="1" applyAlignment="1">
      <alignment horizontal="center" vertical="center"/>
    </xf>
    <xf numFmtId="165" fontId="2" fillId="16" borderId="1" xfId="0" applyNumberFormat="1" applyFont="1" applyFill="1" applyBorder="1" applyAlignment="1">
      <alignment horizontal="center" vertical="center"/>
    </xf>
    <xf numFmtId="164" fontId="18" fillId="7" borderId="1" xfId="2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left" vertical="center"/>
    </xf>
    <xf numFmtId="0" fontId="18" fillId="7" borderId="1" xfId="0" applyFont="1" applyFill="1" applyBorder="1" applyAlignment="1">
      <alignment horizontal="center" vertical="center"/>
    </xf>
    <xf numFmtId="164" fontId="1" fillId="7" borderId="3" xfId="2" applyFont="1" applyFill="1" applyBorder="1" applyAlignment="1">
      <alignment horizontal="center" vertical="center"/>
    </xf>
    <xf numFmtId="0" fontId="6" fillId="7" borderId="4" xfId="0" applyFont="1" applyFill="1" applyBorder="1" applyAlignment="1">
      <alignment vertical="center"/>
    </xf>
    <xf numFmtId="164" fontId="2" fillId="17" borderId="3" xfId="2" applyFont="1" applyFill="1" applyBorder="1" applyAlignment="1">
      <alignment horizontal="center" vertical="center"/>
    </xf>
    <xf numFmtId="0" fontId="6" fillId="17" borderId="4" xfId="0" applyFont="1" applyFill="1" applyBorder="1" applyAlignment="1">
      <alignment horizontal="left" vertical="center"/>
    </xf>
    <xf numFmtId="164" fontId="19" fillId="15" borderId="3" xfId="2" applyFont="1" applyFill="1" applyBorder="1" applyAlignment="1">
      <alignment horizontal="center" vertical="center"/>
    </xf>
    <xf numFmtId="0" fontId="18" fillId="15" borderId="4" xfId="0" applyFont="1" applyFill="1" applyBorder="1" applyAlignment="1">
      <alignment horizontal="center" vertical="center"/>
    </xf>
    <xf numFmtId="164" fontId="18" fillId="18" borderId="3" xfId="2" applyFont="1" applyFill="1" applyBorder="1" applyAlignment="1">
      <alignment horizontal="center" vertical="center"/>
    </xf>
    <xf numFmtId="0" fontId="18" fillId="18" borderId="4" xfId="0" applyFont="1" applyFill="1" applyBorder="1" applyAlignment="1">
      <alignment horizontal="center" vertical="center"/>
    </xf>
    <xf numFmtId="164" fontId="18" fillId="14" borderId="1" xfId="2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left" vertical="center"/>
    </xf>
    <xf numFmtId="165" fontId="1" fillId="7" borderId="10" xfId="0" applyNumberFormat="1" applyFont="1" applyFill="1" applyBorder="1" applyAlignment="1">
      <alignment horizontal="center" vertical="center"/>
    </xf>
    <xf numFmtId="164" fontId="1" fillId="7" borderId="11" xfId="2" applyFont="1" applyFill="1" applyBorder="1" applyAlignment="1">
      <alignment horizontal="center" vertical="center"/>
    </xf>
    <xf numFmtId="164" fontId="18" fillId="15" borderId="3" xfId="2" applyFont="1" applyFill="1" applyBorder="1" applyAlignment="1">
      <alignment horizontal="center" vertical="center"/>
    </xf>
    <xf numFmtId="0" fontId="19" fillId="15" borderId="4" xfId="0" applyFont="1" applyFill="1" applyBorder="1" applyAlignment="1">
      <alignment horizontal="center" vertical="center"/>
    </xf>
    <xf numFmtId="164" fontId="17" fillId="15" borderId="3" xfId="2" applyFont="1" applyFill="1" applyBorder="1" applyAlignment="1">
      <alignment horizontal="center" vertical="center"/>
    </xf>
    <xf numFmtId="165" fontId="1" fillId="15" borderId="4" xfId="3" applyNumberFormat="1" applyFont="1" applyFill="1" applyBorder="1" applyAlignment="1" applyProtection="1">
      <alignment horizontal="left"/>
      <protection locked="0"/>
    </xf>
    <xf numFmtId="0" fontId="18" fillId="7" borderId="4" xfId="0" applyFont="1" applyFill="1" applyBorder="1" applyAlignment="1">
      <alignment horizontal="center" vertical="center"/>
    </xf>
    <xf numFmtId="0" fontId="2" fillId="17" borderId="0" xfId="0" applyFont="1" applyFill="1"/>
    <xf numFmtId="0" fontId="2" fillId="18" borderId="0" xfId="0" applyFont="1" applyFill="1"/>
    <xf numFmtId="0" fontId="2" fillId="12" borderId="0" xfId="0" applyFont="1" applyFill="1"/>
    <xf numFmtId="164" fontId="19" fillId="7" borderId="9" xfId="2" applyFont="1" applyFill="1" applyBorder="1" applyAlignment="1">
      <alignment horizontal="center" vertical="center"/>
    </xf>
    <xf numFmtId="0" fontId="19" fillId="7" borderId="8" xfId="0" applyFont="1" applyFill="1" applyBorder="1" applyAlignment="1">
      <alignment horizontal="left" vertical="center"/>
    </xf>
    <xf numFmtId="164" fontId="14" fillId="7" borderId="3" xfId="2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/>
    </xf>
    <xf numFmtId="0" fontId="6" fillId="6" borderId="1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4">
    <cellStyle name="Hipervínculo" xfId="1" builtinId="8"/>
    <cellStyle name="Moneda" xfId="2" builtinId="4"/>
    <cellStyle name="Normal" xfId="0" builtinId="0"/>
    <cellStyle name="Normal 2" xfId="3" xr:uid="{F8426167-04B3-4851-B3A7-5AD44E24575F}"/>
  </cellStyles>
  <dxfs count="0"/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3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'CUADRE DE CAJA'!$B$6:$B$7</c:f>
              <c:strCache>
                <c:ptCount val="2"/>
                <c:pt idx="0">
                  <c:v>$0.50</c:v>
                </c:pt>
                <c:pt idx="1">
                  <c:v>$1.00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'CUADRE DE CAJA'!$A$8:$A$21</c:f>
              <c:strCache>
                <c:ptCount val="14"/>
                <c:pt idx="0">
                  <c:v>.</c:v>
                </c:pt>
                <c:pt idx="13">
                  <c:v> </c:v>
                </c:pt>
              </c:strCache>
            </c:strRef>
          </c:cat>
          <c:val>
            <c:numRef>
              <c:f>'CUADRE DE CAJA'!$B$8:$B$21</c:f>
              <c:numCache>
                <c:formatCode>"$"#,##0.00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500</c:v>
                </c:pt>
                <c:pt idx="8">
                  <c:v>1000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0-44FB-8F23-F2946DD3A5C0}"/>
            </c:ext>
          </c:extLst>
        </c:ser>
        <c:ser>
          <c:idx val="1"/>
          <c:order val="1"/>
          <c:tx>
            <c:strRef>
              <c:f>'CUADRE DE CAJA'!$C$6:$C$7</c:f>
              <c:strCache>
                <c:ptCount val="2"/>
                <c:pt idx="0">
                  <c:v>$151.00</c:v>
                </c:pt>
                <c:pt idx="1">
                  <c:v>$500.00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Ref>
              <c:f>'CUADRE DE CAJA'!$A$8:$A$21</c:f>
              <c:strCache>
                <c:ptCount val="14"/>
                <c:pt idx="0">
                  <c:v>.</c:v>
                </c:pt>
                <c:pt idx="13">
                  <c:v> </c:v>
                </c:pt>
              </c:strCache>
            </c:strRef>
          </c:cat>
          <c:val>
            <c:numRef>
              <c:f>'CUADRE DE CAJA'!$C$8:$C$20</c:f>
              <c:numCache>
                <c:formatCode>"$"#,##0.00</c:formatCode>
                <c:ptCount val="13"/>
                <c:pt idx="1">
                  <c:v>1700</c:v>
                </c:pt>
                <c:pt idx="2">
                  <c:v>400</c:v>
                </c:pt>
                <c:pt idx="3">
                  <c:v>2000</c:v>
                </c:pt>
                <c:pt idx="4">
                  <c:v>350</c:v>
                </c:pt>
                <c:pt idx="5">
                  <c:v>900</c:v>
                </c:pt>
                <c:pt idx="6">
                  <c:v>400</c:v>
                </c:pt>
                <c:pt idx="9">
                  <c:v>2000</c:v>
                </c:pt>
                <c:pt idx="10">
                  <c:v>24630.000000000004</c:v>
                </c:pt>
                <c:pt idx="11">
                  <c:v>12000</c:v>
                </c:pt>
                <c:pt idx="12">
                  <c:v>33031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0-44FB-8F23-F2946DD3A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2649368"/>
        <c:axId val="1"/>
      </c:barChart>
      <c:catAx>
        <c:axId val="55264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5526493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MX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'CUADRE DE CAJA'!$B$6:$B$7</c:f>
              <c:strCache>
                <c:ptCount val="2"/>
                <c:pt idx="0">
                  <c:v>$0.50</c:v>
                </c:pt>
                <c:pt idx="1">
                  <c:v>$1.00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'CUADRE DE CAJA'!$A$8:$A$21</c:f>
              <c:strCache>
                <c:ptCount val="14"/>
                <c:pt idx="0">
                  <c:v>.</c:v>
                </c:pt>
                <c:pt idx="13">
                  <c:v> </c:v>
                </c:pt>
              </c:strCache>
            </c:strRef>
          </c:cat>
          <c:val>
            <c:numRef>
              <c:f>'CUADRE DE CAJA'!$B$8:$B$21</c:f>
              <c:numCache>
                <c:formatCode>"$"#,##0.00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500</c:v>
                </c:pt>
                <c:pt idx="8">
                  <c:v>1000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F-4EF5-A4C3-5A44A80B4F27}"/>
            </c:ext>
          </c:extLst>
        </c:ser>
        <c:ser>
          <c:idx val="1"/>
          <c:order val="1"/>
          <c:tx>
            <c:strRef>
              <c:f>'CUADRE DE CAJA'!$C$6:$C$7</c:f>
              <c:strCache>
                <c:ptCount val="2"/>
                <c:pt idx="0">
                  <c:v>$151.00</c:v>
                </c:pt>
                <c:pt idx="1">
                  <c:v>$500.00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'CUADRE DE CAJA'!$A$8:$A$21</c:f>
              <c:strCache>
                <c:ptCount val="14"/>
                <c:pt idx="0">
                  <c:v>.</c:v>
                </c:pt>
                <c:pt idx="13">
                  <c:v> </c:v>
                </c:pt>
              </c:strCache>
            </c:strRef>
          </c:cat>
          <c:val>
            <c:numRef>
              <c:f>'CUADRE DE CAJA'!$C$8:$C$21</c:f>
              <c:numCache>
                <c:formatCode>"$"#,##0.00</c:formatCode>
                <c:ptCount val="14"/>
                <c:pt idx="1">
                  <c:v>1700</c:v>
                </c:pt>
                <c:pt idx="2">
                  <c:v>400</c:v>
                </c:pt>
                <c:pt idx="3">
                  <c:v>2000</c:v>
                </c:pt>
                <c:pt idx="4">
                  <c:v>350</c:v>
                </c:pt>
                <c:pt idx="5">
                  <c:v>900</c:v>
                </c:pt>
                <c:pt idx="6">
                  <c:v>400</c:v>
                </c:pt>
                <c:pt idx="9">
                  <c:v>2000</c:v>
                </c:pt>
                <c:pt idx="10">
                  <c:v>24630.000000000004</c:v>
                </c:pt>
                <c:pt idx="11">
                  <c:v>12000</c:v>
                </c:pt>
                <c:pt idx="12">
                  <c:v>33031</c:v>
                </c:pt>
                <c:pt idx="13">
                  <c:v>21031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FF-4EF5-A4C3-5A44A80B4F27}"/>
            </c:ext>
          </c:extLst>
        </c:ser>
        <c:ser>
          <c:idx val="2"/>
          <c:order val="2"/>
          <c:tx>
            <c:strRef>
              <c:f>'CUADRE DE CAJA'!$D$6:$D$7</c:f>
              <c:strCache>
                <c:ptCount val="2"/>
                <c:pt idx="0">
                  <c:v>$151.00</c:v>
                </c:pt>
                <c:pt idx="1">
                  <c:v>$500.00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'CUADRE DE CAJA'!$A$8:$A$21</c:f>
              <c:strCache>
                <c:ptCount val="14"/>
                <c:pt idx="0">
                  <c:v>.</c:v>
                </c:pt>
                <c:pt idx="13">
                  <c:v> </c:v>
                </c:pt>
              </c:strCache>
            </c:strRef>
          </c:cat>
          <c:val>
            <c:numRef>
              <c:f>'CUADRE DE CAJA'!$D$8:$D$21</c:f>
              <c:numCache>
                <c:formatCode>General</c:formatCode>
                <c:ptCount val="14"/>
                <c:pt idx="3">
                  <c:v>0</c:v>
                </c:pt>
                <c:pt idx="4">
                  <c:v>0</c:v>
                </c:pt>
                <c:pt idx="10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FF-4EF5-A4C3-5A44A80B4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062336"/>
        <c:axId val="640069176"/>
      </c:barChart>
      <c:catAx>
        <c:axId val="6400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40069176"/>
        <c:crosses val="autoZero"/>
        <c:auto val="1"/>
        <c:lblAlgn val="ctr"/>
        <c:lblOffset val="100"/>
        <c:noMultiLvlLbl val="0"/>
      </c:catAx>
      <c:valAx>
        <c:axId val="64006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400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66E04B-DAA6-4DFB-B262-343B31D3F66B}">
  <sheetPr/>
  <sheetViews>
    <sheetView zoomScale="7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4A3C09-602E-45AA-AB16-359235AF4287}">
  <sheetPr/>
  <sheetViews>
    <sheetView zoomScale="8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A2FB45-2036-1E28-F765-40A75C9242F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952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3F246B6-0F7A-6457-C7BB-B876EB9910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0511B-C3CE-42B8-8020-870C898B2272}">
  <dimension ref="A2:E10"/>
  <sheetViews>
    <sheetView workbookViewId="0">
      <selection activeCell="E20" sqref="E20"/>
    </sheetView>
  </sheetViews>
  <sheetFormatPr baseColWidth="10" defaultRowHeight="12.75" x14ac:dyDescent="0.2"/>
  <cols>
    <col min="2" max="2" width="18.42578125" customWidth="1"/>
    <col min="3" max="3" width="21.7109375" bestFit="1" customWidth="1"/>
    <col min="5" max="5" width="56.42578125" bestFit="1" customWidth="1"/>
  </cols>
  <sheetData>
    <row r="2" spans="1:5" ht="27.75" customHeight="1" x14ac:dyDescent="0.2">
      <c r="A2" s="46" t="s">
        <v>53</v>
      </c>
      <c r="B2" s="47" t="s">
        <v>50</v>
      </c>
      <c r="C2" s="47" t="s">
        <v>51</v>
      </c>
      <c r="D2" s="46" t="s">
        <v>52</v>
      </c>
      <c r="E2" s="46" t="s">
        <v>54</v>
      </c>
    </row>
    <row r="3" spans="1:5" x14ac:dyDescent="0.2">
      <c r="A3" s="7" t="s">
        <v>55</v>
      </c>
      <c r="B3" s="49" t="s">
        <v>57</v>
      </c>
      <c r="C3" s="48" t="s">
        <v>56</v>
      </c>
      <c r="D3" s="48" t="s">
        <v>58</v>
      </c>
      <c r="E3" s="48" t="s">
        <v>59</v>
      </c>
    </row>
    <row r="4" spans="1:5" x14ac:dyDescent="0.2">
      <c r="A4" s="7" t="s">
        <v>65</v>
      </c>
      <c r="B4" s="49" t="s">
        <v>66</v>
      </c>
      <c r="C4" s="48" t="s">
        <v>67</v>
      </c>
      <c r="D4" s="48" t="s">
        <v>58</v>
      </c>
      <c r="E4" s="48" t="s">
        <v>68</v>
      </c>
    </row>
    <row r="5" spans="1:5" x14ac:dyDescent="0.2">
      <c r="A5" s="7" t="s">
        <v>60</v>
      </c>
      <c r="B5" s="48" t="s">
        <v>61</v>
      </c>
      <c r="C5" s="48" t="s">
        <v>62</v>
      </c>
      <c r="D5" s="48" t="s">
        <v>63</v>
      </c>
      <c r="E5" s="48" t="s">
        <v>64</v>
      </c>
    </row>
    <row r="6" spans="1:5" x14ac:dyDescent="0.2">
      <c r="A6" s="7" t="s">
        <v>69</v>
      </c>
      <c r="B6" s="48" t="s">
        <v>70</v>
      </c>
      <c r="C6" s="48" t="s">
        <v>74</v>
      </c>
      <c r="D6" s="48" t="s">
        <v>71</v>
      </c>
      <c r="E6" s="48" t="s">
        <v>72</v>
      </c>
    </row>
    <row r="7" spans="1:5" x14ac:dyDescent="0.2">
      <c r="A7" s="7" t="s">
        <v>69</v>
      </c>
      <c r="B7" s="48" t="s">
        <v>73</v>
      </c>
      <c r="C7" s="48" t="s">
        <v>74</v>
      </c>
      <c r="D7" s="48" t="s">
        <v>71</v>
      </c>
      <c r="E7" s="48" t="s">
        <v>75</v>
      </c>
    </row>
    <row r="8" spans="1:5" x14ac:dyDescent="0.2">
      <c r="A8" s="7" t="s">
        <v>76</v>
      </c>
      <c r="B8" s="48" t="s">
        <v>77</v>
      </c>
      <c r="C8" s="48" t="s">
        <v>78</v>
      </c>
      <c r="D8" s="48" t="s">
        <v>71</v>
      </c>
      <c r="E8" s="48" t="s">
        <v>79</v>
      </c>
    </row>
    <row r="9" spans="1:5" x14ac:dyDescent="0.2">
      <c r="B9" s="45"/>
      <c r="C9" s="45"/>
      <c r="D9" s="45"/>
      <c r="E9" s="45"/>
    </row>
    <row r="10" spans="1:5" x14ac:dyDescent="0.2">
      <c r="B10" s="45"/>
      <c r="C10" s="45"/>
      <c r="D10" s="45"/>
      <c r="E10" s="4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22C24-26A5-436D-8B14-E92F207ABFB5}">
  <sheetPr codeName="Hoja2"/>
  <dimension ref="A1:IR634"/>
  <sheetViews>
    <sheetView tabSelected="1" zoomScale="87" zoomScaleNormal="87" workbookViewId="0">
      <selection activeCell="C12" sqref="C12"/>
    </sheetView>
  </sheetViews>
  <sheetFormatPr baseColWidth="10" defaultRowHeight="12.75" x14ac:dyDescent="0.2"/>
  <cols>
    <col min="1" max="1" width="6.42578125" customWidth="1"/>
    <col min="2" max="2" width="11.5703125" bestFit="1" customWidth="1"/>
    <col min="3" max="3" width="15.85546875" customWidth="1"/>
    <col min="4" max="4" width="8.140625" style="3" customWidth="1"/>
    <col min="5" max="5" width="9.140625" style="3" customWidth="1"/>
    <col min="6" max="6" width="19.42578125" style="22" customWidth="1"/>
    <col min="7" max="7" width="39.5703125" style="5" customWidth="1"/>
    <col min="8" max="8" width="17.140625" customWidth="1"/>
    <col min="9" max="9" width="8.85546875" customWidth="1"/>
    <col min="10" max="10" width="15" bestFit="1" customWidth="1"/>
  </cols>
  <sheetData>
    <row r="1" spans="1:252" ht="12" customHeight="1" x14ac:dyDescent="0.2">
      <c r="D1" s="3" t="s">
        <v>4</v>
      </c>
      <c r="F1" s="66" t="s">
        <v>45</v>
      </c>
      <c r="G1" s="67" t="s">
        <v>46</v>
      </c>
      <c r="H1">
        <v>0</v>
      </c>
    </row>
    <row r="2" spans="1:252" ht="30" customHeight="1" x14ac:dyDescent="0.2">
      <c r="F2" s="68">
        <v>982.6</v>
      </c>
      <c r="G2" s="69" t="s">
        <v>87</v>
      </c>
    </row>
    <row r="3" spans="1:252" ht="23.25" customHeight="1" x14ac:dyDescent="0.2">
      <c r="F3" s="68">
        <v>7751.77</v>
      </c>
      <c r="G3" s="69" t="s">
        <v>86</v>
      </c>
    </row>
    <row r="4" spans="1:252" ht="30" customHeight="1" thickBot="1" x14ac:dyDescent="0.25">
      <c r="F4" s="68">
        <v>7124</v>
      </c>
      <c r="G4" s="69" t="s">
        <v>92</v>
      </c>
    </row>
    <row r="5" spans="1:252" ht="15.75" thickBot="1" x14ac:dyDescent="0.3">
      <c r="B5" s="96"/>
      <c r="C5" s="97"/>
      <c r="D5" s="42"/>
      <c r="E5" s="42"/>
      <c r="F5" s="84"/>
      <c r="G5" s="83"/>
    </row>
    <row r="6" spans="1:252" ht="15" x14ac:dyDescent="0.2">
      <c r="B6" s="38">
        <v>0.5</v>
      </c>
      <c r="C6" s="39">
        <v>151</v>
      </c>
      <c r="D6" s="43"/>
      <c r="E6" s="43"/>
      <c r="F6" s="75">
        <v>2300</v>
      </c>
      <c r="G6" s="76" t="s">
        <v>88</v>
      </c>
      <c r="H6" s="90" t="s">
        <v>84</v>
      </c>
    </row>
    <row r="7" spans="1:252" ht="15.75" customHeight="1" x14ac:dyDescent="0.2">
      <c r="B7" s="23">
        <v>1</v>
      </c>
      <c r="C7" s="24">
        <v>500</v>
      </c>
      <c r="D7" s="42"/>
      <c r="E7" s="42"/>
      <c r="F7" s="73"/>
      <c r="G7" s="74"/>
    </row>
    <row r="8" spans="1:252" ht="15" x14ac:dyDescent="0.2">
      <c r="A8" t="s">
        <v>8</v>
      </c>
      <c r="B8" s="23">
        <v>2</v>
      </c>
      <c r="C8" s="50"/>
      <c r="D8" s="42"/>
      <c r="E8" s="42"/>
      <c r="F8" s="52">
        <v>1032.6300000000001</v>
      </c>
      <c r="G8" s="53" t="s">
        <v>80</v>
      </c>
      <c r="H8" s="92" t="s">
        <v>90</v>
      </c>
    </row>
    <row r="9" spans="1:252" x14ac:dyDescent="0.2">
      <c r="B9" s="23">
        <v>5</v>
      </c>
      <c r="C9" s="25">
        <v>1700</v>
      </c>
      <c r="D9" s="42"/>
      <c r="E9" s="42"/>
      <c r="F9" s="55">
        <v>700</v>
      </c>
      <c r="G9" s="54" t="s">
        <v>81</v>
      </c>
      <c r="H9" s="92" t="s">
        <v>90</v>
      </c>
      <c r="M9" t="s">
        <v>4</v>
      </c>
      <c r="IR9" t="s">
        <v>5</v>
      </c>
    </row>
    <row r="10" spans="1:252" ht="15" customHeight="1" x14ac:dyDescent="0.2">
      <c r="B10" s="23">
        <v>10</v>
      </c>
      <c r="C10" s="24">
        <v>400</v>
      </c>
      <c r="D10" s="42"/>
      <c r="E10" s="42"/>
      <c r="F10" s="55">
        <v>700</v>
      </c>
      <c r="G10" s="54" t="s">
        <v>82</v>
      </c>
      <c r="H10" s="92" t="s">
        <v>90</v>
      </c>
      <c r="I10" s="3"/>
      <c r="J10" s="51"/>
    </row>
    <row r="11" spans="1:252" x14ac:dyDescent="0.2">
      <c r="B11" s="23">
        <v>20</v>
      </c>
      <c r="C11" s="26">
        <v>2000</v>
      </c>
      <c r="D11" s="42" t="s">
        <v>4</v>
      </c>
      <c r="E11" s="42"/>
      <c r="F11" s="59">
        <v>700</v>
      </c>
      <c r="G11" s="58" t="s">
        <v>83</v>
      </c>
      <c r="H11" s="91" t="s">
        <v>37</v>
      </c>
      <c r="I11" s="3"/>
      <c r="J11" s="51"/>
    </row>
    <row r="12" spans="1:252" ht="13.5" customHeight="1" thickBot="1" x14ac:dyDescent="0.25">
      <c r="B12" s="23">
        <v>50</v>
      </c>
      <c r="C12" s="26">
        <v>350</v>
      </c>
      <c r="D12" s="42" t="s">
        <v>8</v>
      </c>
      <c r="E12" s="42"/>
      <c r="F12" s="57">
        <v>700</v>
      </c>
      <c r="G12" s="56" t="s">
        <v>93</v>
      </c>
      <c r="H12" s="91" t="s">
        <v>37</v>
      </c>
      <c r="I12" s="3"/>
      <c r="J12" s="51"/>
    </row>
    <row r="13" spans="1:252" ht="13.5" thickBot="1" x14ac:dyDescent="0.25">
      <c r="B13" s="23">
        <v>100</v>
      </c>
      <c r="C13" s="27">
        <v>900</v>
      </c>
      <c r="D13" s="42"/>
      <c r="E13" s="42"/>
      <c r="F13" s="57"/>
      <c r="G13" s="56"/>
      <c r="H13" s="91"/>
    </row>
    <row r="14" spans="1:252" ht="13.5" thickBot="1" x14ac:dyDescent="0.25">
      <c r="B14" s="23">
        <v>200</v>
      </c>
      <c r="C14" s="27">
        <v>400</v>
      </c>
      <c r="D14" s="42"/>
      <c r="E14" s="42"/>
      <c r="F14" s="62">
        <v>700</v>
      </c>
      <c r="G14" s="89" t="s">
        <v>96</v>
      </c>
      <c r="H14" s="37"/>
      <c r="J14" s="37"/>
    </row>
    <row r="15" spans="1:252" ht="15" customHeight="1" x14ac:dyDescent="0.2">
      <c r="B15" s="23">
        <v>500</v>
      </c>
      <c r="C15" s="27"/>
      <c r="D15" s="42"/>
      <c r="E15" s="42"/>
      <c r="F15" s="62"/>
      <c r="G15" s="89"/>
    </row>
    <row r="16" spans="1:252" ht="16.5" customHeight="1" x14ac:dyDescent="0.2">
      <c r="B16" s="23">
        <v>1000</v>
      </c>
      <c r="C16" s="28"/>
      <c r="D16" s="42"/>
      <c r="E16" s="42"/>
      <c r="F16" s="65"/>
      <c r="G16" s="64"/>
      <c r="I16" s="60"/>
      <c r="J16" s="98" t="s">
        <v>85</v>
      </c>
      <c r="K16" s="98"/>
    </row>
    <row r="17" spans="1:11" ht="15.75" customHeight="1" thickBot="1" x14ac:dyDescent="0.25">
      <c r="B17" s="29" t="s">
        <v>11</v>
      </c>
      <c r="C17" s="30">
        <v>2000</v>
      </c>
      <c r="D17" s="42"/>
      <c r="E17" s="42"/>
      <c r="F17" s="95"/>
      <c r="G17" s="64"/>
    </row>
    <row r="18" spans="1:11" ht="13.5" thickBot="1" x14ac:dyDescent="0.25">
      <c r="B18" s="31" t="s">
        <v>0</v>
      </c>
      <c r="C18" s="32">
        <f>F30</f>
        <v>24630.000000000004</v>
      </c>
      <c r="D18" s="44" t="s">
        <v>4</v>
      </c>
      <c r="E18" s="44"/>
      <c r="F18" s="87">
        <v>700</v>
      </c>
      <c r="G18" s="88" t="s">
        <v>94</v>
      </c>
    </row>
    <row r="19" spans="1:11" ht="12.75" customHeight="1" x14ac:dyDescent="0.2">
      <c r="B19" s="33" t="s">
        <v>2</v>
      </c>
      <c r="C19" s="34">
        <v>12000</v>
      </c>
      <c r="D19" s="44"/>
      <c r="E19" s="44"/>
      <c r="F19" s="85">
        <v>700</v>
      </c>
      <c r="G19" s="86" t="s">
        <v>95</v>
      </c>
    </row>
    <row r="20" spans="1:11" ht="15.75" customHeight="1" x14ac:dyDescent="0.2">
      <c r="B20" s="33" t="s">
        <v>1</v>
      </c>
      <c r="C20" s="34">
        <f>SUM(C6:C18)</f>
        <v>33031</v>
      </c>
      <c r="D20" s="42"/>
      <c r="E20" s="42"/>
      <c r="F20" s="81">
        <v>150</v>
      </c>
      <c r="G20" s="82" t="s">
        <v>91</v>
      </c>
    </row>
    <row r="21" spans="1:11" ht="15" customHeight="1" thickBot="1" x14ac:dyDescent="0.25">
      <c r="A21" t="s">
        <v>4</v>
      </c>
      <c r="B21" s="35" t="s">
        <v>3</v>
      </c>
      <c r="C21" s="36">
        <f>C20-C19</f>
        <v>21031</v>
      </c>
      <c r="D21" s="42" t="s">
        <v>8</v>
      </c>
      <c r="E21" s="42"/>
      <c r="F21" s="77">
        <v>389</v>
      </c>
      <c r="G21" s="78" t="s">
        <v>89</v>
      </c>
    </row>
    <row r="22" spans="1:11" ht="13.5" customHeight="1" x14ac:dyDescent="0.2">
      <c r="D22" s="42"/>
      <c r="E22" s="42"/>
      <c r="F22" s="79"/>
      <c r="G22" s="80"/>
    </row>
    <row r="23" spans="1:11" ht="15.75" customHeight="1" x14ac:dyDescent="0.2">
      <c r="D23"/>
      <c r="E23"/>
      <c r="F23" s="62"/>
      <c r="G23" s="63"/>
      <c r="H23" s="2"/>
    </row>
    <row r="24" spans="1:11" ht="15.75" customHeight="1" x14ac:dyDescent="0.2">
      <c r="D24"/>
      <c r="E24"/>
      <c r="F24" s="93"/>
      <c r="G24" s="94"/>
      <c r="H24" s="2"/>
    </row>
    <row r="25" spans="1:11" ht="15.75" customHeight="1" x14ac:dyDescent="0.2">
      <c r="D25"/>
      <c r="E25"/>
      <c r="F25" s="70"/>
      <c r="G25" s="71"/>
      <c r="H25" s="2"/>
    </row>
    <row r="26" spans="1:11" ht="15.75" customHeight="1" x14ac:dyDescent="0.2">
      <c r="D26"/>
      <c r="E26"/>
      <c r="F26" s="70"/>
      <c r="G26" s="71"/>
      <c r="H26" s="2"/>
    </row>
    <row r="27" spans="1:11" s="3" customFormat="1" ht="15.75" customHeight="1" x14ac:dyDescent="0.2">
      <c r="F27" s="70"/>
      <c r="G27" s="71"/>
      <c r="H27" s="61"/>
    </row>
    <row r="28" spans="1:11" ht="15.75" customHeight="1" x14ac:dyDescent="0.2">
      <c r="D28"/>
      <c r="E28"/>
      <c r="F28" s="70"/>
      <c r="G28" s="71"/>
      <c r="H28" s="2"/>
    </row>
    <row r="29" spans="1:11" ht="21.75" customHeight="1" x14ac:dyDescent="0.2">
      <c r="C29" t="s">
        <v>12</v>
      </c>
      <c r="D29" s="37"/>
      <c r="E29" s="37"/>
      <c r="F29" s="70"/>
      <c r="G29" s="72"/>
      <c r="H29" s="8"/>
      <c r="K29" s="18"/>
    </row>
    <row r="30" spans="1:11" ht="21.75" customHeight="1" thickBot="1" x14ac:dyDescent="0.25">
      <c r="D30" s="37"/>
      <c r="E30" s="21" t="s">
        <v>7</v>
      </c>
      <c r="F30" s="40">
        <f>SUM(F2:F29)</f>
        <v>24630.000000000004</v>
      </c>
      <c r="G30" s="41"/>
      <c r="H30" s="8"/>
      <c r="K30" s="18"/>
    </row>
    <row r="31" spans="1:11" ht="21.75" customHeight="1" x14ac:dyDescent="0.2">
      <c r="E31" s="37"/>
      <c r="G31" s="19"/>
      <c r="H31" s="8"/>
      <c r="K31" s="18"/>
    </row>
    <row r="32" spans="1:11" ht="18" customHeight="1" x14ac:dyDescent="0.2">
      <c r="F32" s="8" t="s">
        <v>49</v>
      </c>
      <c r="G32" s="8"/>
      <c r="K32" s="2"/>
    </row>
    <row r="33" spans="3:11" ht="18" customHeight="1" x14ac:dyDescent="0.2">
      <c r="I33" s="7"/>
      <c r="K33" s="2"/>
    </row>
    <row r="34" spans="3:11" x14ac:dyDescent="0.2">
      <c r="D34" s="4"/>
      <c r="F34" s="5" t="s">
        <v>48</v>
      </c>
    </row>
    <row r="35" spans="3:11" x14ac:dyDescent="0.2">
      <c r="E35" s="4"/>
      <c r="K35" t="s">
        <v>47</v>
      </c>
    </row>
    <row r="36" spans="3:11" x14ac:dyDescent="0.2">
      <c r="C36" t="s">
        <v>8</v>
      </c>
      <c r="G36" s="20"/>
    </row>
    <row r="37" spans="3:11" x14ac:dyDescent="0.2">
      <c r="C37" t="s">
        <v>9</v>
      </c>
    </row>
    <row r="38" spans="3:11" x14ac:dyDescent="0.2">
      <c r="C38" t="s">
        <v>10</v>
      </c>
      <c r="I38" s="20"/>
    </row>
    <row r="39" spans="3:11" ht="13.5" customHeight="1" x14ac:dyDescent="0.2"/>
    <row r="40" spans="3:11" ht="14.25" customHeight="1" x14ac:dyDescent="0.2"/>
    <row r="50" spans="1:28" x14ac:dyDescent="0.2">
      <c r="A50" t="s">
        <v>4</v>
      </c>
    </row>
    <row r="51" spans="1:28" x14ac:dyDescent="0.2">
      <c r="AB51">
        <v>0</v>
      </c>
    </row>
    <row r="56" spans="1:28" x14ac:dyDescent="0.2">
      <c r="C56" t="s">
        <v>13</v>
      </c>
    </row>
    <row r="65" spans="1:97" x14ac:dyDescent="0.2">
      <c r="D65" s="3">
        <v>0</v>
      </c>
    </row>
    <row r="68" spans="1:97" x14ac:dyDescent="0.2">
      <c r="D68" s="3" t="s">
        <v>14</v>
      </c>
      <c r="CS68" t="s">
        <v>16</v>
      </c>
    </row>
    <row r="70" spans="1:97" x14ac:dyDescent="0.2">
      <c r="C70" t="s">
        <v>4</v>
      </c>
      <c r="F70" s="22" t="s">
        <v>6</v>
      </c>
    </row>
    <row r="73" spans="1:97" x14ac:dyDescent="0.2">
      <c r="A73">
        <v>4445</v>
      </c>
    </row>
    <row r="107" spans="1:3" x14ac:dyDescent="0.2">
      <c r="A107" s="6" t="s">
        <v>44</v>
      </c>
    </row>
    <row r="108" spans="1:3" x14ac:dyDescent="0.2">
      <c r="C108" t="s">
        <v>9</v>
      </c>
    </row>
    <row r="165" spans="3:3" x14ac:dyDescent="0.2">
      <c r="C165" t="s">
        <v>8</v>
      </c>
    </row>
    <row r="185" spans="3:6" x14ac:dyDescent="0.2">
      <c r="D185" s="3">
        <v>0</v>
      </c>
    </row>
    <row r="186" spans="3:6" x14ac:dyDescent="0.2">
      <c r="F186" s="22" t="s">
        <v>15</v>
      </c>
    </row>
    <row r="187" spans="3:6" x14ac:dyDescent="0.2">
      <c r="C187" t="s">
        <v>8</v>
      </c>
    </row>
    <row r="189" spans="3:6" x14ac:dyDescent="0.2">
      <c r="C189" t="s">
        <v>9</v>
      </c>
    </row>
    <row r="190" spans="3:6" x14ac:dyDescent="0.2">
      <c r="C190" t="s">
        <v>8</v>
      </c>
    </row>
    <row r="192" spans="3:6" x14ac:dyDescent="0.2">
      <c r="C192" t="s">
        <v>8</v>
      </c>
    </row>
    <row r="197" spans="3:6" x14ac:dyDescent="0.2">
      <c r="C197" t="s">
        <v>8</v>
      </c>
      <c r="F197" s="22">
        <v>0</v>
      </c>
    </row>
    <row r="198" spans="3:6" x14ac:dyDescent="0.2">
      <c r="C198" t="s">
        <v>8</v>
      </c>
    </row>
    <row r="199" spans="3:6" x14ac:dyDescent="0.2">
      <c r="C199" t="s">
        <v>8</v>
      </c>
    </row>
    <row r="200" spans="3:6" x14ac:dyDescent="0.2">
      <c r="C200" t="s">
        <v>9</v>
      </c>
    </row>
    <row r="241" spans="3:3" x14ac:dyDescent="0.2">
      <c r="C241" t="s">
        <v>8</v>
      </c>
    </row>
    <row r="634" spans="3:3" x14ac:dyDescent="0.2">
      <c r="C634" t="s">
        <v>8</v>
      </c>
    </row>
  </sheetData>
  <sheetProtection selectLockedCells="1"/>
  <protectedRanges>
    <protectedRange password="B79F" sqref="C16 B17:C17 B20:C20" name="Rango1_1"/>
  </protectedRanges>
  <mergeCells count="2">
    <mergeCell ref="B5:C5"/>
    <mergeCell ref="J16:K16"/>
  </mergeCells>
  <phoneticPr fontId="4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C0726-8348-4118-9E0E-0E5A75466ADF}">
  <dimension ref="C1:J24"/>
  <sheetViews>
    <sheetView workbookViewId="0">
      <selection activeCell="G20" sqref="G20"/>
    </sheetView>
  </sheetViews>
  <sheetFormatPr baseColWidth="10" defaultRowHeight="12.75" x14ac:dyDescent="0.2"/>
  <cols>
    <col min="4" max="4" width="27.42578125" customWidth="1"/>
    <col min="5" max="5" width="16.42578125" customWidth="1"/>
    <col min="6" max="7" width="16.7109375" customWidth="1"/>
  </cols>
  <sheetData>
    <row r="1" spans="3:10" ht="13.5" thickBot="1" x14ac:dyDescent="0.25"/>
    <row r="2" spans="3:10" ht="20.25" customHeight="1" x14ac:dyDescent="0.2">
      <c r="C2" s="101" t="s">
        <v>17</v>
      </c>
      <c r="D2" s="99" t="s">
        <v>18</v>
      </c>
      <c r="E2" s="99" t="s">
        <v>19</v>
      </c>
      <c r="F2" s="99"/>
      <c r="G2" s="99" t="s">
        <v>20</v>
      </c>
      <c r="H2" s="99"/>
      <c r="I2" s="99" t="s">
        <v>21</v>
      </c>
      <c r="J2" s="100"/>
    </row>
    <row r="3" spans="3:10" ht="17.25" customHeight="1" x14ac:dyDescent="0.2">
      <c r="C3" s="102"/>
      <c r="D3" s="103"/>
      <c r="E3" s="14" t="s">
        <v>30</v>
      </c>
      <c r="F3" s="14" t="s">
        <v>31</v>
      </c>
      <c r="G3" s="14" t="s">
        <v>30</v>
      </c>
      <c r="H3" s="14" t="s">
        <v>31</v>
      </c>
      <c r="I3" s="14" t="s">
        <v>30</v>
      </c>
      <c r="J3" s="15" t="s">
        <v>31</v>
      </c>
    </row>
    <row r="4" spans="3:10" x14ac:dyDescent="0.2">
      <c r="C4" s="9">
        <v>38408</v>
      </c>
      <c r="D4" s="1" t="s">
        <v>22</v>
      </c>
      <c r="E4" s="1"/>
      <c r="F4" s="1"/>
      <c r="G4" s="1"/>
      <c r="H4" s="1"/>
      <c r="I4" s="1"/>
      <c r="J4" s="10"/>
    </row>
    <row r="5" spans="3:10" x14ac:dyDescent="0.2">
      <c r="C5" s="9">
        <v>38525</v>
      </c>
      <c r="D5" s="1" t="s">
        <v>23</v>
      </c>
      <c r="E5" s="1"/>
      <c r="F5" s="1"/>
      <c r="G5" s="1"/>
      <c r="H5" s="1"/>
      <c r="I5" s="1"/>
      <c r="J5" s="10"/>
    </row>
    <row r="6" spans="3:10" x14ac:dyDescent="0.2">
      <c r="C6" s="9">
        <v>38738</v>
      </c>
      <c r="D6" s="1" t="s">
        <v>24</v>
      </c>
      <c r="E6" s="1"/>
      <c r="F6" s="1"/>
      <c r="G6" s="1"/>
      <c r="H6" s="1"/>
      <c r="I6" s="1"/>
      <c r="J6" s="10"/>
    </row>
    <row r="7" spans="3:10" x14ac:dyDescent="0.2">
      <c r="C7" s="9">
        <v>38781</v>
      </c>
      <c r="D7" s="1" t="s">
        <v>25</v>
      </c>
      <c r="E7" s="1"/>
      <c r="F7" s="1"/>
      <c r="G7" s="1"/>
      <c r="H7" s="1"/>
      <c r="I7" s="1"/>
      <c r="J7" s="10"/>
    </row>
    <row r="8" spans="3:10" x14ac:dyDescent="0.2">
      <c r="C8" s="9">
        <v>38839</v>
      </c>
      <c r="D8" s="1" t="s">
        <v>26</v>
      </c>
      <c r="E8" s="1"/>
      <c r="F8" s="1"/>
      <c r="G8" s="1"/>
      <c r="H8" s="1"/>
      <c r="I8" s="1"/>
      <c r="J8" s="10"/>
    </row>
    <row r="9" spans="3:10" x14ac:dyDescent="0.2">
      <c r="C9" s="9">
        <v>38946</v>
      </c>
      <c r="D9" s="1" t="s">
        <v>27</v>
      </c>
      <c r="E9" s="1"/>
      <c r="F9" s="1"/>
      <c r="G9" s="1"/>
      <c r="H9" s="1"/>
      <c r="I9" s="1"/>
      <c r="J9" s="10"/>
    </row>
    <row r="10" spans="3:10" x14ac:dyDescent="0.2">
      <c r="C10" s="9">
        <v>38966</v>
      </c>
      <c r="D10" s="1" t="s">
        <v>28</v>
      </c>
      <c r="E10" s="1"/>
      <c r="F10" s="1"/>
      <c r="G10" s="1"/>
      <c r="H10" s="1"/>
      <c r="I10" s="1"/>
      <c r="J10" s="10"/>
    </row>
    <row r="11" spans="3:10" ht="13.5" thickBot="1" x14ac:dyDescent="0.25">
      <c r="C11" s="11">
        <v>38967</v>
      </c>
      <c r="D11" s="12" t="s">
        <v>29</v>
      </c>
      <c r="E11" s="12"/>
      <c r="F11" s="12"/>
      <c r="G11" s="12"/>
      <c r="H11" s="12"/>
      <c r="I11" s="12"/>
      <c r="J11" s="13"/>
    </row>
    <row r="19" spans="3:4" x14ac:dyDescent="0.2">
      <c r="C19" s="17" t="s">
        <v>32</v>
      </c>
      <c r="D19" s="17" t="s">
        <v>38</v>
      </c>
    </row>
    <row r="20" spans="3:4" x14ac:dyDescent="0.2">
      <c r="C20" s="17" t="s">
        <v>35</v>
      </c>
      <c r="D20" s="17" t="s">
        <v>39</v>
      </c>
    </row>
    <row r="21" spans="3:4" x14ac:dyDescent="0.2">
      <c r="C21" s="17" t="s">
        <v>36</v>
      </c>
      <c r="D21" s="17" t="s">
        <v>40</v>
      </c>
    </row>
    <row r="22" spans="3:4" x14ac:dyDescent="0.2">
      <c r="C22" s="16" t="s">
        <v>37</v>
      </c>
      <c r="D22" s="16" t="s">
        <v>41</v>
      </c>
    </row>
    <row r="23" spans="3:4" x14ac:dyDescent="0.2">
      <c r="C23" s="16" t="s">
        <v>34</v>
      </c>
      <c r="D23" s="16" t="s">
        <v>42</v>
      </c>
    </row>
    <row r="24" spans="3:4" x14ac:dyDescent="0.2">
      <c r="C24" s="16" t="s">
        <v>33</v>
      </c>
      <c r="D24" s="16" t="s">
        <v>43</v>
      </c>
    </row>
  </sheetData>
  <mergeCells count="5">
    <mergeCell ref="E2:F2"/>
    <mergeCell ref="G2:H2"/>
    <mergeCell ref="I2:J2"/>
    <mergeCell ref="C2:C3"/>
    <mergeCell ref="D2:D3"/>
  </mergeCells>
  <phoneticPr fontId="7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73CB38621264685B427618B7C0C92" ma:contentTypeVersion="4" ma:contentTypeDescription="Create a new document." ma:contentTypeScope="" ma:versionID="51f14752f4290c0d08d3c40ab323d943">
  <xsd:schema xmlns:xsd="http://www.w3.org/2001/XMLSchema" xmlns:xs="http://www.w3.org/2001/XMLSchema" xmlns:p="http://schemas.microsoft.com/office/2006/metadata/properties" xmlns:ns3="fbefb921-7c72-43c8-9f9b-3c4ef0194880" targetNamespace="http://schemas.microsoft.com/office/2006/metadata/properties" ma:root="true" ma:fieldsID="03bf0f4978bc74a7bb73974a78f348d7" ns3:_="">
    <xsd:import namespace="fbefb921-7c72-43c8-9f9b-3c4ef019488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efb921-7c72-43c8-9f9b-3c4ef019488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8EE8356-99F5-435E-B60A-C97F5C915E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BED9A4-305C-4D13-9FBE-FC79D3AADC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efb921-7c72-43c8-9f9b-3c4ef01948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68243E-AD99-4479-8D9D-283594D38290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fbefb921-7c72-43c8-9f9b-3c4ef0194880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0fcc44cc-5868-4897-981e-7b04f79d61d8}" enabled="0" method="" siteId="{0fcc44cc-5868-4897-981e-7b04f79d61d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CUADRE DE CAJA</vt:lpstr>
      <vt:lpstr>Hoja2</vt:lpstr>
      <vt:lpstr>Gráfico1</vt:lpstr>
      <vt:lpstr>Gráfico2</vt:lpstr>
      <vt:lpstr>'CUADRE DE CAJA'!Área_de_impresión</vt:lpstr>
    </vt:vector>
  </TitlesOfParts>
  <Company>Cafe Sirena S. De R.L.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Starbucks Coffee</dc:creator>
  <cp:lastModifiedBy>Starbucks Belisario Dominguez DT</cp:lastModifiedBy>
  <cp:lastPrinted>2026-04-04T05:28:50Z</cp:lastPrinted>
  <dcterms:created xsi:type="dcterms:W3CDTF">2011-06-07T15:46:09Z</dcterms:created>
  <dcterms:modified xsi:type="dcterms:W3CDTF">2026-09-19T06:54:35Z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0x01010015F73CB38621264685B427618B7C0C92</vt:lpwstr>
  </property>
</Properties>
</file>